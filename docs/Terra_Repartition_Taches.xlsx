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gende" sheetId="1" state="visible" r:id="rId3"/>
    <sheet name="Planning" sheetId="2" state="visible" r:id="rId4"/>
    <sheet name="Vue par person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<sst xmlns="http://schemas.openxmlformats.org/spreadsheetml/2006/main" count="218" uniqueCount="114">
  <si>
    <t xml:space="preserve">Terra — Classeur de répartition des tâches</t>
  </si>
  <si>
    <t xml:space="preserve">NextStep Hacks 2026 — Earth Forward</t>
  </si>
  <si>
    <t xml:space="preserve">Comment utiliser ce classeur</t>
  </si>
  <si>
    <t xml:space="preserve">1. L'onglet « Planning » liste toutes les tâches du projet dans l'ordre logique où elles doivent être faites (colonne N°).</t>
  </si>
  <si>
    <t xml:space="preserve">2. La colonne « Dépend de (N°) » indique quelles tâches doivent être terminées avant de commencer celle-ci. Respectez cet ordre.</t>
  </si>
  <si>
    <t xml:space="preserve">3. Remplacez les noms « Coéquipier 2 / 3 / 4 » par les vrais prénoms de ton équipe (colonne Personne, liste déroulante à mettre à jour dans l'onglet Légende ci-dessous).</t>
  </si>
  <si>
    <t xml:space="preserve">4. Mets à jour la colonne « Statut » au fur et à mesure (liste déroulante : À faire / En cours / Terminé / Bloqué).</t>
  </si>
  <si>
    <t xml:space="preserve">5. L'onglet « Vue par personne » calcule automatiquement la charge de travail de chacun — ne pas modifier, il se met à jour seul.</t>
  </si>
  <si>
    <t xml:space="preserve">Noms de l'équipe (à modifier ici)</t>
  </si>
  <si>
    <t xml:space="preserve">Florette</t>
  </si>
  <si>
    <t xml:space="preserve">Coéquipier 2</t>
  </si>
  <si>
    <t xml:space="preserve">Coéquipier 3</t>
  </si>
  <si>
    <t xml:space="preserve">Coéquipier 4</t>
  </si>
  <si>
    <t xml:space="preserve">Légende des statuts</t>
  </si>
  <si>
    <t xml:space="preserve">À faire</t>
  </si>
  <si>
    <t xml:space="preserve">En cours</t>
  </si>
  <si>
    <t xml:space="preserve">Terminé</t>
  </si>
  <si>
    <t xml:space="preserve">Bloqué</t>
  </si>
  <si>
    <t xml:space="preserve">N°</t>
  </si>
  <si>
    <t xml:space="preserve">Semaine</t>
  </si>
  <si>
    <t xml:space="preserve">Module</t>
  </si>
  <si>
    <t xml:space="preserve">Personne</t>
  </si>
  <si>
    <t xml:space="preserve">Tâche</t>
  </si>
  <si>
    <t xml:space="preserve">Description détaillée</t>
  </si>
  <si>
    <t xml:space="preserve">Dépend de (N°)</t>
  </si>
  <si>
    <t xml:space="preserve">Durée estimée (j)</t>
  </si>
  <si>
    <t xml:space="preserve">Statut</t>
  </si>
  <si>
    <t xml:space="preserve">Semaine 1</t>
  </si>
  <si>
    <t xml:space="preserve">Fondations</t>
  </si>
  <si>
    <t xml:space="preserve">Créer le repo GitHub et sa structure</t>
  </si>
  <si>
    <t xml:space="preserve">Créer le dépôt Git, définir l'arborescence des dossiers (app, docs, assets), rédiger le README, créer les branches main et dev.</t>
  </si>
  <si>
    <t xml:space="preserve">Configurer le projet Supabase</t>
  </si>
  <si>
    <t xml:space="preserve">Créer l'organisation et le projet Supabase, récupérer les clés API, les stocker en variables d'environnement (non commitées).</t>
  </si>
  <si>
    <t xml:space="preserve">1</t>
  </si>
  <si>
    <t xml:space="preserve">Créer le schéma de base de données</t>
  </si>
  <si>
    <t xml:space="preserve">Créer les 7 tables définies dans la documentation (profiles, diagnoses, waste_points, waste_reports, ecosystem_signals, chat_messages, user_settings) et activer la Row Level Security de base.</t>
  </si>
  <si>
    <t xml:space="preserve">2</t>
  </si>
  <si>
    <t xml:space="preserve">Initialiser le projet Expo / React Native</t>
  </si>
  <si>
    <t xml:space="preserve">Créer le projet Expo, installer les dépendances de base, mettre en place la navigation par onglets avec les 5 écrans principaux (vides pour l'instant).</t>
  </si>
  <si>
    <t xml:space="preserve">Construire le design system</t>
  </si>
  <si>
    <t xml:space="preserve">Coder les couleurs, les deux polices (Fraunces / Space Grotesk), le sprite d'icônes SVG, et les composants réutilisables (carte, bouton, chip, barre de statut).</t>
  </si>
  <si>
    <t xml:space="preserve">4</t>
  </si>
  <si>
    <t xml:space="preserve">Mettre en place l'authentification</t>
  </si>
  <si>
    <t xml:space="preserve">Configurer Supabase Auth (inscription/connexion), créer les écrans de connexion et le lien avec la table profiles.</t>
  </si>
  <si>
    <t xml:space="preserve">2,4</t>
  </si>
  <si>
    <t xml:space="preserve">Mettre en place le stockage local offline</t>
  </si>
  <si>
    <t xml:space="preserve">Installer et configurer SQLite (expo-sqlite) et AsyncStorage, créer la file d'attente de synchronisation générique réutilisable par tous les modules.</t>
  </si>
  <si>
    <t xml:space="preserve">3,4</t>
  </si>
  <si>
    <t xml:space="preserve">Coder l'écran Accueil (statique)</t>
  </si>
  <si>
    <t xml:space="preserve">Reproduire fidèlement l'écran Accueil de la maquette validée : les 3 cartes modules, le bandeau hors-ligne, le fil d'activité récente.</t>
  </si>
  <si>
    <t xml:space="preserve">5</t>
  </si>
  <si>
    <t xml:space="preserve">Semaine 2</t>
  </si>
  <si>
    <t xml:space="preserve">Agriculture</t>
  </si>
  <si>
    <t xml:space="preserve">Écran de capture photo</t>
  </si>
  <si>
    <t xml:space="preserve">Intégrer la caméra de l'appareil, permettre de prendre une photo ou d'en choisir une dans la galerie, afficher l'aperçu avant validation.</t>
  </si>
  <si>
    <t xml:space="preserve">6</t>
  </si>
  <si>
    <t xml:space="preserve">Modèle de diagnostic des maladies (TFLite)</t>
  </si>
  <si>
    <t xml:space="preserve">Entraîner ou adapter un modèle de classification d'images de maladies de plantes, le convertir en TensorFlow Lite, l'intégrer pour fonctionner hors ligne.</t>
  </si>
  <si>
    <t xml:space="preserve">9</t>
  </si>
  <si>
    <t xml:space="preserve">Écran de résultat et sauvegarde</t>
  </si>
  <si>
    <t xml:space="preserve">Afficher la maladie détectée, le score de confiance, les conseils dans la langue choisie, et enregistrer le diagnostic dans la table diagnoses (locale puis synchronisée).</t>
  </si>
  <si>
    <t xml:space="preserve">10,3</t>
  </si>
  <si>
    <t xml:space="preserve">Ressources</t>
  </si>
  <si>
    <t xml:space="preserve">Écran liste des points de collecte</t>
  </si>
  <si>
    <t xml:space="preserve">Afficher les points de collecte du quartier avec leur statut (plein / partiel / vide), triés par urgence.</t>
  </si>
  <si>
    <t xml:space="preserve">7</t>
  </si>
  <si>
    <t xml:space="preserve">Formulaire de signalement</t>
  </si>
  <si>
    <t xml:space="preserve">Permettre à un utilisateur de signaler un point plein en un geste, écrire dans waste_reports (local puis synchronisé).</t>
  </si>
  <si>
    <t xml:space="preserve">12,3</t>
  </si>
  <si>
    <t xml:space="preserve">Logique de priorisation des collectes</t>
  </si>
  <si>
    <t xml:space="preserve">Calculer un ordre de priorité des points à vider en fonction du nombre et de l'ancienneté des signalements.</t>
  </si>
  <si>
    <t xml:space="preserve">13</t>
  </si>
  <si>
    <t xml:space="preserve">Écosystème</t>
  </si>
  <si>
    <t xml:space="preserve">Requêtes d'agrégation des signaux</t>
  </si>
  <si>
    <t xml:space="preserve">Créer les triggers/fonctions Supabase qui alimentent ecosystem_signals à chaque nouveau diagnostic ou signalement.</t>
  </si>
  <si>
    <t xml:space="preserve">8,3</t>
  </si>
  <si>
    <t xml:space="preserve">Dashboard Écosystème</t>
  </si>
  <si>
    <t xml:space="preserve">Construire l'écran avec l'indice de santé environnementale, le graphique en barres de tendance hebdomadaire et la répartition par type de signal.</t>
  </si>
  <si>
    <t xml:space="preserve">15</t>
  </si>
  <si>
    <t xml:space="preserve">Assistant &amp; Paramètres</t>
  </si>
  <si>
    <t xml:space="preserve">Assistant Terra — moteur hors ligne</t>
  </si>
  <si>
    <t xml:space="preserve">Définir les intentions courantes (plante malade, comment signaler, etc.) et construire les réponses et suggestions rapides associées, sans connexion requise.</t>
  </si>
  <si>
    <t xml:space="preserve">Assistant Terra — intégration API Claude</t>
  </si>
  <si>
    <t xml:space="preserve">Connecter l'assistant à l'API Claude pour les questions plus complexes lorsqu'une connexion est disponible, en conservant le même ton.</t>
  </si>
  <si>
    <t xml:space="preserve">17</t>
  </si>
  <si>
    <t xml:space="preserve">Écran Paramètres</t>
  </si>
  <si>
    <t xml:space="preserve">Coder le changement de thème clair/sombre, le sélecteur de langue et le curseur de taille de texte, avec persistance locale puis synchronisation.</t>
  </si>
  <si>
    <t xml:space="preserve">5,3</t>
  </si>
  <si>
    <t xml:space="preserve">Semaine 3</t>
  </si>
  <si>
    <t xml:space="preserve">Intégration &amp; pitch</t>
  </si>
  <si>
    <t xml:space="preserve">Intégration des 4 modules</t>
  </si>
  <si>
    <t xml:space="preserve">Connecter tous les écrans à la navigation finale, vérifier la cohérence des transitions et du flux complet de bout en bout.</t>
  </si>
  <si>
    <t xml:space="preserve">11,14,16,19</t>
  </si>
  <si>
    <t xml:space="preserve">Tests de synchronisation offline → online</t>
  </si>
  <si>
    <t xml:space="preserve">Tester la mise en réseau après une période hors ligne sur les 3 modules de données, vérifier qu'aucune donnée n'est perdue ou dupliquée.</t>
  </si>
  <si>
    <t xml:space="preserve">20</t>
  </si>
  <si>
    <t xml:space="preserve">Toute l'équipe</t>
  </si>
  <si>
    <t xml:space="preserve">Tests utilisateurs internes et corrections</t>
  </si>
  <si>
    <t xml:space="preserve">Faire tester l'application par des personnes extérieures à l'équipe, lister et corriger les bugs remontés.</t>
  </si>
  <si>
    <t xml:space="preserve">Polish visuel final</t>
  </si>
  <si>
    <t xml:space="preserve">Vérifier la cohérence visuelle sur tous les écrans, ajuster les espacements, ajouter les micro-interactions clés.</t>
  </si>
  <si>
    <t xml:space="preserve">22</t>
  </si>
  <si>
    <t xml:space="preserve">Rédaction du pitch et script vidéo</t>
  </si>
  <si>
    <t xml:space="preserve">Préparer le discours de présentation et le script détaillé de la vidéo de démonstration (5 minutes maximum).</t>
  </si>
  <si>
    <t xml:space="preserve">Tournage et montage de la vidéo</t>
  </si>
  <si>
    <t xml:space="preserve">Filmer la démonstration de l'application en suivant le script, monter la vidéo finale.</t>
  </si>
  <si>
    <t xml:space="preserve">24</t>
  </si>
  <si>
    <t xml:space="preserve">Soumission finale sur Devpost</t>
  </si>
  <si>
    <t xml:space="preserve">Rédiger la description du projet sur Devpost, ajouter les liens (repo, vidéo, application), vérifier tous les critères de soumission, soumettre.</t>
  </si>
  <si>
    <t xml:space="preserve">25</t>
  </si>
  <si>
    <t xml:space="preserve">Nb de tâches</t>
  </si>
  <si>
    <t xml:space="preserve">Durée totale (j)</t>
  </si>
  <si>
    <t xml:space="preserve">Tâches terminées</t>
  </si>
  <si>
    <t xml:space="preserve">Total projet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</si>
</sst>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A8432A"/>
      <name val="Arial"/>
      <family val="0"/>
      <charset val="1"/>
    </font>
    <font>
      <i val="true"/>
      <sz val="11"/>
      <color rgb="FF3F6B4A"/>
      <name val="Arial"/>
      <family val="0"/>
      <charset val="1"/>
    </font>
    <font>
      <b val="true"/>
      <sz val="13"/>
      <color rgb="FF3F6B4A"/>
      <name val="Arial"/>
      <family val="0"/>
      <charset val="1"/>
    </font>
    <font>
      <sz val="11"/>
      <color rgb="FF1C1A1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C1A15"/>
      <name val="Arial"/>
      <family val="0"/>
      <charset val="1"/>
    </font>
    <font>
      <b val="true"/>
      <sz val="10"/>
      <color rgb="FF1C1A15"/>
      <name val="Arial"/>
      <family val="0"/>
      <charset val="1"/>
    </font>
    <font>
      <b val="true"/>
      <sz val="11"/>
      <color rgb="FF1C1A1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7DD"/>
        <bgColor rgb="FFF6F0E2"/>
      </patternFill>
    </fill>
    <fill>
      <patternFill patternType="solid">
        <fgColor rgb="FFE3D6BB"/>
        <bgColor rgb="FFD9D0B8"/>
      </patternFill>
    </fill>
    <fill>
      <patternFill patternType="solid">
        <fgColor rgb="FFF5E4C4"/>
        <bgColor rgb="FFF3DBCE"/>
      </patternFill>
    </fill>
    <fill>
      <patternFill patternType="solid">
        <fgColor rgb="FFDCE6D5"/>
        <bgColor rgb="FFD9E2E6"/>
      </patternFill>
    </fill>
    <fill>
      <patternFill patternType="solid">
        <fgColor rgb="FFF3DBCE"/>
        <bgColor rgb="FFF5E4C4"/>
      </patternFill>
    </fill>
    <fill>
      <patternFill patternType="solid">
        <fgColor rgb="FF20241F"/>
        <bgColor rgb="FF1C1A15"/>
      </patternFill>
    </fill>
    <fill>
      <patternFill patternType="solid">
        <fgColor rgb="FFF6F0E2"/>
        <bgColor rgb="FFFFF7DD"/>
      </patternFill>
    </fill>
    <fill>
      <patternFill patternType="solid">
        <fgColor rgb="FFE6DCEF"/>
        <bgColor rgb="FFD9E2E6"/>
      </patternFill>
    </fill>
    <fill>
      <patternFill patternType="solid">
        <fgColor rgb="FFD9E2E6"/>
        <bgColor rgb="FFDCE6D5"/>
      </patternFill>
    </fill>
    <fill>
      <patternFill patternType="solid">
        <fgColor rgb="FFFFFFFF"/>
        <bgColor rgb="FFFFF7DD"/>
      </patternFill>
    </fill>
    <fill>
      <patternFill patternType="solid">
        <fgColor rgb="FFA8432A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0B8"/>
      </left>
      <right style="thin">
        <color rgb="FFD9D0B8"/>
      </right>
      <top style="thin">
        <color rgb="FFD9D0B8"/>
      </top>
      <bottom style="thin">
        <color rgb="FFD9D0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0B8"/>
      <rgbColor rgb="FF808080"/>
      <rgbColor rgb="FF9999FF"/>
      <rgbColor rgb="FF993366"/>
      <rgbColor rgb="FFFFF7DD"/>
      <rgbColor rgb="FFD9E2E6"/>
      <rgbColor rgb="FF660066"/>
      <rgbColor rgb="FFFF8080"/>
      <rgbColor rgb="FF0066CC"/>
      <rgbColor rgb="FFE6DC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0E2"/>
      <rgbColor rgb="FFDCE6D5"/>
      <rgbColor rgb="FFF5E4C4"/>
      <rgbColor rgb="FF99CCFF"/>
      <rgbColor rgb="FFF3DBCE"/>
      <rgbColor rgb="FFCC99FF"/>
      <rgbColor rgb="FFE3D6BB"/>
      <rgbColor rgb="FF3366FF"/>
      <rgbColor rgb="FF33CCCC"/>
      <rgbColor rgb="FF99CC00"/>
      <rgbColor rgb="FFFFCC00"/>
      <rgbColor rgb="FFFF9900"/>
      <rgbColor rgb="FFFF6600"/>
      <rgbColor rgb="FF3F6B4A"/>
      <rgbColor rgb="FF969696"/>
      <rgbColor rgb="FF003366"/>
      <rgbColor rgb="FF339966"/>
      <rgbColor rgb="FF003300"/>
      <rgbColor rgb="FF1C1A15"/>
      <rgbColor rgb="FFA8432A"/>
      <rgbColor rgb="FF993366"/>
      <rgbColor rgb="FF333399"/>
      <rgbColor rgb="FF2024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22.05" hidden="false" customHeight="false" outlineLevel="0" collapsed="false">
      <c r="B2" s="1" t="s">
        <v>0</v>
      </c>
    </row>
    <row r="4" customFormat="false" ht="18" hidden="false" customHeight="true" outlineLevel="0" collapsed="false">
      <c r="B4" s="2" t="s">
        <v>1</v>
      </c>
    </row>
    <row r="6" customFormat="false" ht="18" hidden="false" customHeight="true" outlineLevel="0" collapsed="false">
      <c r="B6" s="3" t="s">
        <v>2</v>
      </c>
    </row>
    <row r="7" customFormat="false" ht="18" hidden="false" customHeight="true" outlineLevel="0" collapsed="false">
      <c r="B7" s="4" t="s">
        <v>3</v>
      </c>
    </row>
    <row r="8" customFormat="false" ht="18" hidden="false" customHeight="true" outlineLevel="0" collapsed="false">
      <c r="B8" s="4" t="s">
        <v>4</v>
      </c>
    </row>
    <row r="9" customFormat="false" ht="18" hidden="false" customHeight="true" outlineLevel="0" collapsed="false">
      <c r="B9" s="4" t="s">
        <v>5</v>
      </c>
    </row>
    <row r="10" customFormat="false" ht="18" hidden="false" customHeight="true" outlineLevel="0" collapsed="false">
      <c r="B10" s="4" t="s">
        <v>6</v>
      </c>
    </row>
    <row r="11" customFormat="false" ht="18" hidden="false" customHeight="true" outlineLevel="0" collapsed="false">
      <c r="B11" s="4" t="s">
        <v>7</v>
      </c>
    </row>
    <row r="13" customFormat="false" ht="18" hidden="false" customHeight="true" outlineLevel="0" collapsed="false">
      <c r="B13" s="3" t="s">
        <v>8</v>
      </c>
    </row>
    <row r="14" customFormat="false" ht="15" hidden="false" customHeight="false" outlineLevel="0" collapsed="false">
      <c r="B14" s="5" t="s">
        <v>9</v>
      </c>
    </row>
    <row r="15" customFormat="false" ht="15" hidden="false" customHeight="false" outlineLevel="0" collapsed="false">
      <c r="B15" s="5" t="s">
        <v>10</v>
      </c>
    </row>
    <row r="16" customFormat="false" ht="15" hidden="false" customHeight="false" outlineLevel="0" collapsed="false">
      <c r="B16" s="5" t="s">
        <v>11</v>
      </c>
    </row>
    <row r="17" customFormat="false" ht="15" hidden="false" customHeight="false" outlineLevel="0" collapsed="false">
      <c r="B17" s="5" t="s">
        <v>12</v>
      </c>
    </row>
    <row r="19" customFormat="false" ht="18" hidden="false" customHeight="true" outlineLevel="0" collapsed="false">
      <c r="B19" s="3" t="s">
        <v>13</v>
      </c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7" t="s">
        <v>15</v>
      </c>
    </row>
    <row r="22" customFormat="false" ht="15" hidden="false" customHeight="false" outlineLevel="0" collapsed="false">
      <c r="B22" s="8" t="s">
        <v>16</v>
      </c>
    </row>
    <row r="23" customFormat="false" ht="15" hidden="false" customHeight="false" outlineLevel="0" collapsed="false">
      <c r="B23" s="9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60"/>
    <col collapsed="false" customWidth="true" hidden="false" outlineLevel="0" max="7" min="7" style="0" width="14"/>
    <col collapsed="false" customWidth="true" hidden="false" outlineLevel="0" max="9" min="8" style="0" width="12"/>
  </cols>
  <sheetData>
    <row r="1" customFormat="false" ht="30" hidden="false" customHeight="true" outlineLevel="0" collapsed="false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26</v>
      </c>
    </row>
    <row r="2" customFormat="false" ht="45.75" hidden="false" customHeight="true" outlineLevel="0" collapsed="false">
      <c r="A2" s="11" t="n">
        <v>1</v>
      </c>
      <c r="B2" s="11" t="s">
        <v>27</v>
      </c>
      <c r="C2" s="12" t="s">
        <v>28</v>
      </c>
      <c r="D2" s="13" t="s">
        <v>9</v>
      </c>
      <c r="E2" s="14" t="s">
        <v>29</v>
      </c>
      <c r="F2" s="14" t="s">
        <v>30</v>
      </c>
      <c r="G2" s="11"/>
      <c r="H2" s="11" t="n">
        <v>1</v>
      </c>
      <c r="I2" s="15" t="s">
        <v>14</v>
      </c>
    </row>
    <row r="3" customFormat="false" ht="45.75" hidden="false" customHeight="true" outlineLevel="0" collapsed="false">
      <c r="A3" s="16" t="n">
        <v>2</v>
      </c>
      <c r="B3" s="16" t="s">
        <v>27</v>
      </c>
      <c r="C3" s="12" t="s">
        <v>28</v>
      </c>
      <c r="D3" s="17" t="s">
        <v>9</v>
      </c>
      <c r="E3" s="18" t="s">
        <v>31</v>
      </c>
      <c r="F3" s="18" t="s">
        <v>32</v>
      </c>
      <c r="G3" s="16" t="s">
        <v>33</v>
      </c>
      <c r="H3" s="16" t="n">
        <v>0.5</v>
      </c>
      <c r="I3" s="15" t="s">
        <v>14</v>
      </c>
    </row>
    <row r="4" customFormat="false" ht="45.75" hidden="false" customHeight="true" outlineLevel="0" collapsed="false">
      <c r="A4" s="11" t="n">
        <v>3</v>
      </c>
      <c r="B4" s="11" t="s">
        <v>27</v>
      </c>
      <c r="C4" s="12" t="s">
        <v>28</v>
      </c>
      <c r="D4" s="13" t="s">
        <v>9</v>
      </c>
      <c r="E4" s="14" t="s">
        <v>34</v>
      </c>
      <c r="F4" s="14" t="s">
        <v>35</v>
      </c>
      <c r="G4" s="11" t="s">
        <v>36</v>
      </c>
      <c r="H4" s="11" t="n">
        <v>2</v>
      </c>
      <c r="I4" s="15" t="s">
        <v>14</v>
      </c>
    </row>
    <row r="5" customFormat="false" ht="45.75" hidden="false" customHeight="true" outlineLevel="0" collapsed="false">
      <c r="A5" s="16" t="n">
        <v>4</v>
      </c>
      <c r="B5" s="16" t="s">
        <v>27</v>
      </c>
      <c r="C5" s="12" t="s">
        <v>28</v>
      </c>
      <c r="D5" s="17" t="s">
        <v>9</v>
      </c>
      <c r="E5" s="18" t="s">
        <v>37</v>
      </c>
      <c r="F5" s="18" t="s">
        <v>38</v>
      </c>
      <c r="G5" s="16" t="s">
        <v>33</v>
      </c>
      <c r="H5" s="16" t="n">
        <v>1</v>
      </c>
      <c r="I5" s="15" t="s">
        <v>14</v>
      </c>
    </row>
    <row r="6" customFormat="false" ht="45.75" hidden="false" customHeight="true" outlineLevel="0" collapsed="false">
      <c r="A6" s="11" t="n">
        <v>5</v>
      </c>
      <c r="B6" s="11" t="s">
        <v>27</v>
      </c>
      <c r="C6" s="12" t="s">
        <v>28</v>
      </c>
      <c r="D6" s="13" t="s">
        <v>9</v>
      </c>
      <c r="E6" s="14" t="s">
        <v>39</v>
      </c>
      <c r="F6" s="14" t="s">
        <v>40</v>
      </c>
      <c r="G6" s="11" t="s">
        <v>41</v>
      </c>
      <c r="H6" s="11" t="n">
        <v>2</v>
      </c>
      <c r="I6" s="15" t="s">
        <v>14</v>
      </c>
    </row>
    <row r="7" customFormat="false" ht="45.75" hidden="false" customHeight="true" outlineLevel="0" collapsed="false">
      <c r="A7" s="16" t="n">
        <v>6</v>
      </c>
      <c r="B7" s="16" t="s">
        <v>27</v>
      </c>
      <c r="C7" s="12" t="s">
        <v>28</v>
      </c>
      <c r="D7" s="17" t="s">
        <v>10</v>
      </c>
      <c r="E7" s="18" t="s">
        <v>42</v>
      </c>
      <c r="F7" s="18" t="s">
        <v>43</v>
      </c>
      <c r="G7" s="16" t="s">
        <v>44</v>
      </c>
      <c r="H7" s="16" t="n">
        <v>1</v>
      </c>
      <c r="I7" s="15" t="s">
        <v>14</v>
      </c>
    </row>
    <row r="8" customFormat="false" ht="45.75" hidden="false" customHeight="true" outlineLevel="0" collapsed="false">
      <c r="A8" s="11" t="n">
        <v>7</v>
      </c>
      <c r="B8" s="11" t="s">
        <v>27</v>
      </c>
      <c r="C8" s="12" t="s">
        <v>28</v>
      </c>
      <c r="D8" s="13" t="s">
        <v>11</v>
      </c>
      <c r="E8" s="14" t="s">
        <v>45</v>
      </c>
      <c r="F8" s="14" t="s">
        <v>46</v>
      </c>
      <c r="G8" s="11" t="s">
        <v>47</v>
      </c>
      <c r="H8" s="11" t="n">
        <v>2</v>
      </c>
      <c r="I8" s="15" t="s">
        <v>14</v>
      </c>
    </row>
    <row r="9" customFormat="false" ht="45.75" hidden="false" customHeight="true" outlineLevel="0" collapsed="false">
      <c r="A9" s="16" t="n">
        <v>8</v>
      </c>
      <c r="B9" s="16" t="s">
        <v>27</v>
      </c>
      <c r="C9" s="12" t="s">
        <v>28</v>
      </c>
      <c r="D9" s="17" t="s">
        <v>12</v>
      </c>
      <c r="E9" s="18" t="s">
        <v>48</v>
      </c>
      <c r="F9" s="18" t="s">
        <v>49</v>
      </c>
      <c r="G9" s="16" t="s">
        <v>50</v>
      </c>
      <c r="H9" s="16" t="n">
        <v>1</v>
      </c>
      <c r="I9" s="15" t="s">
        <v>14</v>
      </c>
    </row>
    <row r="10" customFormat="false" ht="45.75" hidden="false" customHeight="true" outlineLevel="0" collapsed="false">
      <c r="A10" s="11" t="n">
        <v>9</v>
      </c>
      <c r="B10" s="11" t="s">
        <v>51</v>
      </c>
      <c r="C10" s="19" t="s">
        <v>52</v>
      </c>
      <c r="D10" s="13" t="s">
        <v>10</v>
      </c>
      <c r="E10" s="14" t="s">
        <v>53</v>
      </c>
      <c r="F10" s="14" t="s">
        <v>54</v>
      </c>
      <c r="G10" s="11" t="s">
        <v>55</v>
      </c>
      <c r="H10" s="11" t="n">
        <v>1</v>
      </c>
      <c r="I10" s="15" t="s">
        <v>14</v>
      </c>
    </row>
    <row r="11" customFormat="false" ht="45.75" hidden="false" customHeight="true" outlineLevel="0" collapsed="false">
      <c r="A11" s="16" t="n">
        <v>10</v>
      </c>
      <c r="B11" s="16" t="s">
        <v>51</v>
      </c>
      <c r="C11" s="19" t="s">
        <v>52</v>
      </c>
      <c r="D11" s="17" t="s">
        <v>10</v>
      </c>
      <c r="E11" s="18" t="s">
        <v>56</v>
      </c>
      <c r="F11" s="18" t="s">
        <v>57</v>
      </c>
      <c r="G11" s="16" t="s">
        <v>58</v>
      </c>
      <c r="H11" s="16" t="n">
        <v>3</v>
      </c>
      <c r="I11" s="15" t="s">
        <v>14</v>
      </c>
    </row>
    <row r="12" customFormat="false" ht="45.75" hidden="false" customHeight="true" outlineLevel="0" collapsed="false">
      <c r="A12" s="11" t="n">
        <v>11</v>
      </c>
      <c r="B12" s="11" t="s">
        <v>51</v>
      </c>
      <c r="C12" s="19" t="s">
        <v>52</v>
      </c>
      <c r="D12" s="13" t="s">
        <v>10</v>
      </c>
      <c r="E12" s="14" t="s">
        <v>59</v>
      </c>
      <c r="F12" s="14" t="s">
        <v>60</v>
      </c>
      <c r="G12" s="11" t="s">
        <v>61</v>
      </c>
      <c r="H12" s="11" t="n">
        <v>2</v>
      </c>
      <c r="I12" s="15" t="s">
        <v>14</v>
      </c>
    </row>
    <row r="13" customFormat="false" ht="45.75" hidden="false" customHeight="true" outlineLevel="0" collapsed="false">
      <c r="A13" s="16" t="n">
        <v>12</v>
      </c>
      <c r="B13" s="16" t="s">
        <v>51</v>
      </c>
      <c r="C13" s="20" t="s">
        <v>62</v>
      </c>
      <c r="D13" s="17" t="s">
        <v>11</v>
      </c>
      <c r="E13" s="18" t="s">
        <v>63</v>
      </c>
      <c r="F13" s="18" t="s">
        <v>64</v>
      </c>
      <c r="G13" s="16" t="s">
        <v>65</v>
      </c>
      <c r="H13" s="16" t="n">
        <v>1</v>
      </c>
      <c r="I13" s="15" t="s">
        <v>14</v>
      </c>
    </row>
    <row r="14" customFormat="false" ht="45.75" hidden="false" customHeight="true" outlineLevel="0" collapsed="false">
      <c r="A14" s="11" t="n">
        <v>13</v>
      </c>
      <c r="B14" s="11" t="s">
        <v>51</v>
      </c>
      <c r="C14" s="20" t="s">
        <v>62</v>
      </c>
      <c r="D14" s="13" t="s">
        <v>11</v>
      </c>
      <c r="E14" s="14" t="s">
        <v>66</v>
      </c>
      <c r="F14" s="14" t="s">
        <v>67</v>
      </c>
      <c r="G14" s="11" t="s">
        <v>68</v>
      </c>
      <c r="H14" s="11" t="n">
        <v>1</v>
      </c>
      <c r="I14" s="15" t="s">
        <v>14</v>
      </c>
    </row>
    <row r="15" customFormat="false" ht="45.75" hidden="false" customHeight="true" outlineLevel="0" collapsed="false">
      <c r="A15" s="16" t="n">
        <v>14</v>
      </c>
      <c r="B15" s="16" t="s">
        <v>51</v>
      </c>
      <c r="C15" s="20" t="s">
        <v>62</v>
      </c>
      <c r="D15" s="17" t="s">
        <v>11</v>
      </c>
      <c r="E15" s="18" t="s">
        <v>69</v>
      </c>
      <c r="F15" s="18" t="s">
        <v>70</v>
      </c>
      <c r="G15" s="16" t="s">
        <v>71</v>
      </c>
      <c r="H15" s="16" t="n">
        <v>2</v>
      </c>
      <c r="I15" s="15" t="s">
        <v>14</v>
      </c>
    </row>
    <row r="16" customFormat="false" ht="45.75" hidden="false" customHeight="true" outlineLevel="0" collapsed="false">
      <c r="A16" s="11" t="n">
        <v>15</v>
      </c>
      <c r="B16" s="11" t="s">
        <v>51</v>
      </c>
      <c r="C16" s="21" t="s">
        <v>72</v>
      </c>
      <c r="D16" s="13" t="s">
        <v>12</v>
      </c>
      <c r="E16" s="14" t="s">
        <v>73</v>
      </c>
      <c r="F16" s="14" t="s">
        <v>74</v>
      </c>
      <c r="G16" s="11" t="s">
        <v>75</v>
      </c>
      <c r="H16" s="11" t="n">
        <v>2</v>
      </c>
      <c r="I16" s="15" t="s">
        <v>14</v>
      </c>
    </row>
    <row r="17" customFormat="false" ht="45.75" hidden="false" customHeight="true" outlineLevel="0" collapsed="false">
      <c r="A17" s="16" t="n">
        <v>16</v>
      </c>
      <c r="B17" s="16" t="s">
        <v>51</v>
      </c>
      <c r="C17" s="21" t="s">
        <v>72</v>
      </c>
      <c r="D17" s="17" t="s">
        <v>12</v>
      </c>
      <c r="E17" s="18" t="s">
        <v>76</v>
      </c>
      <c r="F17" s="18" t="s">
        <v>77</v>
      </c>
      <c r="G17" s="16" t="s">
        <v>78</v>
      </c>
      <c r="H17" s="16" t="n">
        <v>2</v>
      </c>
      <c r="I17" s="15" t="s">
        <v>14</v>
      </c>
    </row>
    <row r="18" customFormat="false" ht="45.75" hidden="false" customHeight="true" outlineLevel="0" collapsed="false">
      <c r="A18" s="11" t="n">
        <v>17</v>
      </c>
      <c r="B18" s="11" t="s">
        <v>51</v>
      </c>
      <c r="C18" s="22" t="s">
        <v>79</v>
      </c>
      <c r="D18" s="13" t="s">
        <v>9</v>
      </c>
      <c r="E18" s="14" t="s">
        <v>80</v>
      </c>
      <c r="F18" s="14" t="s">
        <v>81</v>
      </c>
      <c r="G18" s="11" t="s">
        <v>50</v>
      </c>
      <c r="H18" s="11" t="n">
        <v>2</v>
      </c>
      <c r="I18" s="15" t="s">
        <v>14</v>
      </c>
    </row>
    <row r="19" customFormat="false" ht="45.75" hidden="false" customHeight="true" outlineLevel="0" collapsed="false">
      <c r="A19" s="16" t="n">
        <v>18</v>
      </c>
      <c r="B19" s="16" t="s">
        <v>51</v>
      </c>
      <c r="C19" s="22" t="s">
        <v>79</v>
      </c>
      <c r="D19" s="17" t="s">
        <v>9</v>
      </c>
      <c r="E19" s="18" t="s">
        <v>82</v>
      </c>
      <c r="F19" s="18" t="s">
        <v>83</v>
      </c>
      <c r="G19" s="16" t="s">
        <v>84</v>
      </c>
      <c r="H19" s="16" t="n">
        <v>1</v>
      </c>
      <c r="I19" s="15" t="s">
        <v>14</v>
      </c>
    </row>
    <row r="20" customFormat="false" ht="45.75" hidden="false" customHeight="true" outlineLevel="0" collapsed="false">
      <c r="A20" s="11" t="n">
        <v>19</v>
      </c>
      <c r="B20" s="11" t="s">
        <v>51</v>
      </c>
      <c r="C20" s="22" t="s">
        <v>79</v>
      </c>
      <c r="D20" s="13" t="s">
        <v>9</v>
      </c>
      <c r="E20" s="14" t="s">
        <v>85</v>
      </c>
      <c r="F20" s="14" t="s">
        <v>86</v>
      </c>
      <c r="G20" s="11" t="s">
        <v>87</v>
      </c>
      <c r="H20" s="11" t="n">
        <v>2</v>
      </c>
      <c r="I20" s="15" t="s">
        <v>14</v>
      </c>
    </row>
    <row r="21" customFormat="false" ht="45.75" hidden="false" customHeight="true" outlineLevel="0" collapsed="false">
      <c r="A21" s="16" t="n">
        <v>20</v>
      </c>
      <c r="B21" s="16" t="s">
        <v>88</v>
      </c>
      <c r="C21" s="23" t="s">
        <v>89</v>
      </c>
      <c r="D21" s="17" t="s">
        <v>9</v>
      </c>
      <c r="E21" s="18" t="s">
        <v>90</v>
      </c>
      <c r="F21" s="18" t="s">
        <v>91</v>
      </c>
      <c r="G21" s="16" t="s">
        <v>92</v>
      </c>
      <c r="H21" s="16" t="n">
        <v>1</v>
      </c>
      <c r="I21" s="15" t="s">
        <v>14</v>
      </c>
    </row>
    <row r="22" customFormat="false" ht="45.75" hidden="false" customHeight="true" outlineLevel="0" collapsed="false">
      <c r="A22" s="11" t="n">
        <v>21</v>
      </c>
      <c r="B22" s="11" t="s">
        <v>88</v>
      </c>
      <c r="C22" s="23" t="s">
        <v>89</v>
      </c>
      <c r="D22" s="13" t="s">
        <v>11</v>
      </c>
      <c r="E22" s="14" t="s">
        <v>93</v>
      </c>
      <c r="F22" s="14" t="s">
        <v>94</v>
      </c>
      <c r="G22" s="11" t="s">
        <v>95</v>
      </c>
      <c r="H22" s="11" t="n">
        <v>1</v>
      </c>
      <c r="I22" s="15" t="s">
        <v>14</v>
      </c>
    </row>
    <row r="23" customFormat="false" ht="45.75" hidden="false" customHeight="true" outlineLevel="0" collapsed="false">
      <c r="A23" s="16" t="n">
        <v>22</v>
      </c>
      <c r="B23" s="16" t="s">
        <v>88</v>
      </c>
      <c r="C23" s="23" t="s">
        <v>89</v>
      </c>
      <c r="D23" s="17" t="s">
        <v>96</v>
      </c>
      <c r="E23" s="18" t="s">
        <v>97</v>
      </c>
      <c r="F23" s="18" t="s">
        <v>98</v>
      </c>
      <c r="G23" s="16" t="s">
        <v>95</v>
      </c>
      <c r="H23" s="16" t="n">
        <v>2</v>
      </c>
      <c r="I23" s="15" t="s">
        <v>14</v>
      </c>
    </row>
    <row r="24" customFormat="false" ht="45.75" hidden="false" customHeight="true" outlineLevel="0" collapsed="false">
      <c r="A24" s="11" t="n">
        <v>23</v>
      </c>
      <c r="B24" s="11" t="s">
        <v>88</v>
      </c>
      <c r="C24" s="23" t="s">
        <v>89</v>
      </c>
      <c r="D24" s="13" t="s">
        <v>12</v>
      </c>
      <c r="E24" s="14" t="s">
        <v>99</v>
      </c>
      <c r="F24" s="14" t="s">
        <v>100</v>
      </c>
      <c r="G24" s="11" t="s">
        <v>101</v>
      </c>
      <c r="H24" s="11" t="n">
        <v>1</v>
      </c>
      <c r="I24" s="15" t="s">
        <v>14</v>
      </c>
    </row>
    <row r="25" customFormat="false" ht="45.75" hidden="false" customHeight="true" outlineLevel="0" collapsed="false">
      <c r="A25" s="16" t="n">
        <v>24</v>
      </c>
      <c r="B25" s="16" t="s">
        <v>88</v>
      </c>
      <c r="C25" s="23" t="s">
        <v>89</v>
      </c>
      <c r="D25" s="17" t="s">
        <v>9</v>
      </c>
      <c r="E25" s="18" t="s">
        <v>102</v>
      </c>
      <c r="F25" s="18" t="s">
        <v>103</v>
      </c>
      <c r="G25" s="16" t="s">
        <v>101</v>
      </c>
      <c r="H25" s="16" t="n">
        <v>1</v>
      </c>
      <c r="I25" s="15" t="s">
        <v>14</v>
      </c>
    </row>
    <row r="26" customFormat="false" ht="45.75" hidden="false" customHeight="true" outlineLevel="0" collapsed="false">
      <c r="A26" s="11" t="n">
        <v>25</v>
      </c>
      <c r="B26" s="11" t="s">
        <v>88</v>
      </c>
      <c r="C26" s="23" t="s">
        <v>89</v>
      </c>
      <c r="D26" s="13" t="s">
        <v>96</v>
      </c>
      <c r="E26" s="14" t="s">
        <v>104</v>
      </c>
      <c r="F26" s="14" t="s">
        <v>105</v>
      </c>
      <c r="G26" s="11" t="s">
        <v>106</v>
      </c>
      <c r="H26" s="11" t="n">
        <v>1</v>
      </c>
      <c r="I26" s="15" t="s">
        <v>14</v>
      </c>
    </row>
    <row r="27" customFormat="false" ht="45.75" hidden="false" customHeight="true" outlineLevel="0" collapsed="false">
      <c r="A27" s="16" t="n">
        <v>26</v>
      </c>
      <c r="B27" s="16" t="s">
        <v>88</v>
      </c>
      <c r="C27" s="23" t="s">
        <v>89</v>
      </c>
      <c r="D27" s="17" t="s">
        <v>9</v>
      </c>
      <c r="E27" s="18" t="s">
        <v>107</v>
      </c>
      <c r="F27" s="18" t="s">
        <v>108</v>
      </c>
      <c r="G27" s="16" t="s">
        <v>109</v>
      </c>
      <c r="H27" s="16" t="n">
        <v>1</v>
      </c>
      <c r="I27" s="15" t="s">
        <v>14</v>
      </c>
    </row>
  </sheetData>
  <dataValidations count="2">
    <dataValidation allowBlank="false" errorStyle="stop" operator="between" showDropDown="false" showErrorMessage="false" showInputMessage="false" sqref="D2:D27" type="list">
      <formula1>"Florette,Coéquipier 2,Coéquipier 3,Coéquipier 4,Toute l'équipe"</formula1>
      <formula2>0</formula2>
    </dataValidation>
    <dataValidation allowBlank="false" errorStyle="stop" operator="between" showDropDown="false" showErrorMessage="false" showInputMessage="false" sqref="I2:I27" type="list">
      <formula1>"À faire,En cours,Terminé,Bloqué"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18"/>
  </cols>
  <sheetData>
    <row r="1" customFormat="false" ht="24" hidden="false" customHeight="true" outlineLevel="0" collapsed="false">
      <c r="A1" s="24" t="s">
        <v>21</v>
      </c>
      <c r="B1" s="24" t="s">
        <v>110</v>
      </c>
      <c r="C1" s="24" t="s">
        <v>111</v>
      </c>
      <c r="D1" s="24" t="s">
        <v>112</v>
      </c>
    </row>
    <row r="2" customFormat="false" ht="15" hidden="false" customHeight="false" outlineLevel="0" collapsed="false">
      <c r="A2" s="25" t="s">
        <v>9</v>
      </c>
      <c r="B2" s="26" t="n">
        <f aca="false">COUNTIF(Planning!$D$2:$D$27,A2)</f>
        <v>11</v>
      </c>
      <c r="C2" s="26" t="n">
        <f aca="false">SUMIF(Planning!$D$2:$D$27,A2,Planning!$H$2:$H$27)</f>
        <v>14.5</v>
      </c>
      <c r="D2" s="26" t="n">
        <f aca="false">COUNTIFS(Planning!$D$2:$D$27,A2,Planning!$I$2:$I$27,"Terminé")</f>
        <v>0</v>
      </c>
    </row>
    <row r="3" customFormat="false" ht="15" hidden="false" customHeight="false" outlineLevel="0" collapsed="false">
      <c r="A3" s="27" t="s">
        <v>10</v>
      </c>
      <c r="B3" s="28" t="n">
        <f aca="false">COUNTIF(Planning!$D$2:$D$27,A3)</f>
        <v>4</v>
      </c>
      <c r="C3" s="28" t="n">
        <f aca="false">SUMIF(Planning!$D$2:$D$27,A3,Planning!$H$2:$H$27)</f>
        <v>7</v>
      </c>
      <c r="D3" s="28" t="n">
        <f aca="false">COUNTIFS(Planning!$D$2:$D$27,A3,Planning!$I$2:$I$27,"Terminé")</f>
        <v>0</v>
      </c>
    </row>
    <row r="4" customFormat="false" ht="15" hidden="false" customHeight="false" outlineLevel="0" collapsed="false">
      <c r="A4" s="25" t="s">
        <v>11</v>
      </c>
      <c r="B4" s="26" t="n">
        <f aca="false">COUNTIF(Planning!$D$2:$D$27,A4)</f>
        <v>5</v>
      </c>
      <c r="C4" s="26" t="n">
        <f aca="false">SUMIF(Planning!$D$2:$D$27,A4,Planning!$H$2:$H$27)</f>
        <v>7</v>
      </c>
      <c r="D4" s="26" t="n">
        <f aca="false">COUNTIFS(Planning!$D$2:$D$27,A4,Planning!$I$2:$I$27,"Terminé")</f>
        <v>0</v>
      </c>
    </row>
    <row r="5" customFormat="false" ht="15" hidden="false" customHeight="false" outlineLevel="0" collapsed="false">
      <c r="A5" s="27" t="s">
        <v>12</v>
      </c>
      <c r="B5" s="28" t="n">
        <f aca="false">COUNTIF(Planning!$D$2:$D$27,A5)</f>
        <v>4</v>
      </c>
      <c r="C5" s="28" t="n">
        <f aca="false">SUMIF(Planning!$D$2:$D$27,A5,Planning!$H$2:$H$27)</f>
        <v>6</v>
      </c>
      <c r="D5" s="28" t="n">
        <f aca="false">COUNTIFS(Planning!$D$2:$D$27,A5,Planning!$I$2:$I$27,"Terminé")</f>
        <v>0</v>
      </c>
    </row>
    <row r="6" customFormat="false" ht="15" hidden="false" customHeight="false" outlineLevel="0" collapsed="false">
      <c r="A6" s="25" t="s">
        <v>96</v>
      </c>
      <c r="B6" s="26" t="n">
        <f aca="false">COUNTIF(Planning!$D$2:$D$27,A6)</f>
        <v>2</v>
      </c>
      <c r="C6" s="26" t="n">
        <f aca="false">SUMIF(Planning!$D$2:$D$27,A6,Planning!$H$2:$H$27)</f>
        <v>3</v>
      </c>
      <c r="D6" s="26" t="n">
        <f aca="false">COUNTIFS(Planning!$D$2:$D$27,A6,Planning!$I$2:$I$27,"Terminé")</f>
        <v>0</v>
      </c>
    </row>
    <row r="7" customFormat="false" ht="15" hidden="false" customHeight="false" outlineLevel="0" collapsed="false">
      <c r="A7" s="29" t="s">
        <v>113</v>
      </c>
      <c r="B7" s="30" t="n">
        <f aca="false">SUM(B2:B6)</f>
        <v>26</v>
      </c>
      <c r="C7" s="30" t="n">
        <f aca="false">SUM(C2:C6)</f>
        <v>37.5</v>
      </c>
      <c r="D7" s="30" t="n">
        <f aca="false">SUM(D2:D6)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2026-09-01T23:09:35Z</dcterms:created>
  <dc:creator>openpyxl</dc:creator>
  <dc:description/>
  <dc:language>en-US</dc:language>
  <cp:lastModifiedBy/>
  <dcterms:modified xsi:type="dcterms:W3CDTF">2026-09-01T23:09:35Z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